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studos\Excel\Arquivos da Aula Dio\"/>
    </mc:Choice>
  </mc:AlternateContent>
  <xr:revisionPtr revIDLastSave="0" documentId="13_ncr:1_{8A71BB62-B5A9-48B0-95B3-2BA08E75CCA2}" xr6:coauthVersionLast="47" xr6:coauthVersionMax="47" xr10:uidLastSave="{00000000-0000-0000-0000-000000000000}"/>
  <bookViews>
    <workbookView xWindow="-120" yWindow="-120" windowWidth="21840" windowHeight="13020" tabRatio="345" xr2:uid="{D63472A4-8300-4934-9C87-0EC792DCF89D}"/>
  </bookViews>
  <sheets>
    <sheet name="Simulador" sheetId="1" r:id="rId1"/>
    <sheet name="Perfis" sheetId="2" r:id="rId2"/>
  </sheets>
  <definedNames>
    <definedName name="aporte">Simulador!$E$19</definedName>
    <definedName name="forma_aporte">Simulador!$E$9</definedName>
    <definedName name="ListaPerfis">Perfis!$F$6:$F$8</definedName>
    <definedName name="patrimonio">Simulador!$E$20</definedName>
    <definedName name="percentual_salario">Simulador!$E$10</definedName>
    <definedName name="perfil">Simulador!$E$15</definedName>
    <definedName name="qtd_anos">Simulador!$E$12</definedName>
    <definedName name="rendimento_carteira">Simulador!$E$14</definedName>
    <definedName name="salario">Simulador!$E$8</definedName>
    <definedName name="sugestao_investimento">Simulador!$E$18</definedName>
    <definedName name="taxa_mensal">Simulador!$E$13</definedName>
    <definedName name="valor_mensal">Simulador!$E$11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1" i="1" l="1"/>
  <c r="C41" i="1"/>
  <c r="D40" i="1"/>
  <c r="C40" i="1"/>
  <c r="D39" i="1"/>
  <c r="C39" i="1"/>
  <c r="D38" i="1"/>
  <c r="C38" i="1"/>
  <c r="D37" i="1"/>
  <c r="C37" i="1"/>
  <c r="D36" i="1"/>
  <c r="C36" i="1"/>
  <c r="E19" i="1"/>
  <c r="D31" i="1" s="1"/>
  <c r="E31" i="1" s="1"/>
  <c r="E18" i="1"/>
  <c r="G8" i="2"/>
  <c r="H8" i="2" s="1"/>
  <c r="G7" i="2"/>
  <c r="H7" i="2" s="1"/>
  <c r="G6" i="2"/>
  <c r="H6" i="2" s="1"/>
  <c r="E36" i="1" l="1"/>
  <c r="E20" i="1"/>
  <c r="E21" i="1" s="1"/>
  <c r="D42" i="1"/>
  <c r="D30" i="1"/>
  <c r="E30" i="1" s="1"/>
  <c r="D28" i="1"/>
  <c r="E28" i="1" s="1"/>
  <c r="E40" i="1"/>
  <c r="D32" i="1"/>
  <c r="E32" i="1" s="1"/>
  <c r="E22" i="1"/>
  <c r="D29" i="1"/>
  <c r="E29" i="1" s="1"/>
  <c r="E37" i="1"/>
  <c r="E39" i="1"/>
  <c r="E41" i="1"/>
  <c r="E38" i="1"/>
  <c r="E24" i="1"/>
  <c r="E23" i="1" l="1"/>
  <c r="E42" i="1"/>
</calcChain>
</file>

<file path=xl/sharedStrings.xml><?xml version="1.0" encoding="utf-8"?>
<sst xmlns="http://schemas.openxmlformats.org/spreadsheetml/2006/main" count="113" uniqueCount="75">
  <si>
    <t>CONFIGURAÇÕES</t>
  </si>
  <si>
    <t>Conservador</t>
  </si>
  <si>
    <t>Moderado</t>
  </si>
  <si>
    <t>Agressivo</t>
  </si>
  <si>
    <t>PERFIL</t>
  </si>
  <si>
    <t>TIPO DE FII</t>
  </si>
  <si>
    <t>PAPEL</t>
  </si>
  <si>
    <t>TIJOLO</t>
  </si>
  <si>
    <t>HÍBRIDOS</t>
  </si>
  <si>
    <t>FOFs</t>
  </si>
  <si>
    <t>DESENVOLVIMENTO</t>
  </si>
  <si>
    <t>HOTELARIAS</t>
  </si>
  <si>
    <t>%</t>
  </si>
  <si>
    <t>CHAVE</t>
  </si>
  <si>
    <t>Moderado-TIJOLO</t>
  </si>
  <si>
    <t>SIMULADOR EDUCACIONAL DE INVESTIMENTOS EM FIIs</t>
  </si>
  <si>
    <t>Salário mensal</t>
  </si>
  <si>
    <t>Forma do aporte</t>
  </si>
  <si>
    <t>Percentual do salário</t>
  </si>
  <si>
    <t>Valor mensal informado</t>
  </si>
  <si>
    <t>Prazo do investimento (anos)</t>
  </si>
  <si>
    <t>Taxa de rendimento mensal</t>
  </si>
  <si>
    <t>Taxa mensal estimada de dividendos</t>
  </si>
  <si>
    <t>Valor mensal</t>
  </si>
  <si>
    <t>Sugestão pelo percentual</t>
  </si>
  <si>
    <t>Aporte mensal efetivo</t>
  </si>
  <si>
    <t>Patrimônio no prazo</t>
  </si>
  <si>
    <t>Dividendos mensais estimados</t>
  </si>
  <si>
    <t>Total aportado</t>
  </si>
  <si>
    <t>Rendimento acumulado</t>
  </si>
  <si>
    <t>Soma da alocação</t>
  </si>
  <si>
    <t>Anos</t>
  </si>
  <si>
    <t>Patrimônio acumulado</t>
  </si>
  <si>
    <t>Dividendos mensais</t>
  </si>
  <si>
    <t>Tipo de FII</t>
  </si>
  <si>
    <t>Percentual</t>
  </si>
  <si>
    <t>TOTAL</t>
  </si>
  <si>
    <t>BASE DE PERFIS E CONTROLES</t>
  </si>
  <si>
    <t>Percentuais preservados da planilha original; esta aba sustenta a lista e a distribuição do simulador.</t>
  </si>
  <si>
    <t>Conservador-PAPEL</t>
  </si>
  <si>
    <t>Conservador-TIJOLO</t>
  </si>
  <si>
    <t>Conservador-HÍBRIDOS</t>
  </si>
  <si>
    <t>Conservador-FOFs</t>
  </si>
  <si>
    <t>Conservador-DESENVOLVIMENTO</t>
  </si>
  <si>
    <t>Conservador-HOTELARIAS</t>
  </si>
  <si>
    <t>Moderado-PAPEL</t>
  </si>
  <si>
    <t>Moderado-HÍBRIDOS</t>
  </si>
  <si>
    <t>Moderado-FOFs</t>
  </si>
  <si>
    <t>Moderado-DESENVOLVIMENTO</t>
  </si>
  <si>
    <t>Moderado-HOTELARIAS</t>
  </si>
  <si>
    <t>Agressivo-PAPEL</t>
  </si>
  <si>
    <t>Agressivo-TIJOLO</t>
  </si>
  <si>
    <t>Agressivo-HÍBRIDOS</t>
  </si>
  <si>
    <t>Agressivo-FOFs</t>
  </si>
  <si>
    <t>Agressivo-DESENVOLVIMENTO</t>
  </si>
  <si>
    <t>Agressivo-HOTELARIAS</t>
  </si>
  <si>
    <t>CONTROLE DE CONSISTÊNCIA</t>
  </si>
  <si>
    <t>Perfil</t>
  </si>
  <si>
    <t>Total</t>
  </si>
  <si>
    <t>Status</t>
  </si>
  <si>
    <t>Planejamento por perfil, prazo e taxa mensal</t>
  </si>
  <si>
    <t>Preencha as células amarelas. O simulador projeta patrimônio e dividendos por capitalização mensal. Resultados educacionais: não constituem promessa de rentabilidade, recomendação financeira ou previsão de mercado.</t>
  </si>
  <si>
    <t>RESULTADOS DO INVESTIMENTO</t>
  </si>
  <si>
    <t>CENÁRIOS</t>
  </si>
  <si>
    <t>Descrição</t>
  </si>
  <si>
    <t>Quanto em 2 anos?</t>
  </si>
  <si>
    <t>Quanto em 5 anos?</t>
  </si>
  <si>
    <t>Quanto em 10 anos?</t>
  </si>
  <si>
    <t>Quanto em 20 anos?</t>
  </si>
  <si>
    <t>Quanto em 30 anos?</t>
  </si>
  <si>
    <t>PERFIL E DISTRIBUIÇÃO DO APORTE</t>
  </si>
  <si>
    <t>Perfil selecionado</t>
  </si>
  <si>
    <t>EVOLUÇÃO DO PATRIMÔNIO</t>
  </si>
  <si>
    <t>EVOLUÇÃO DOS DIVIDENDOS</t>
  </si>
  <si>
    <t>Perfil do investidor — selecione na lista 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</si>
</sst>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R$-416]\ #,##0.00"/>
  </numFmts>
  <fonts count="11" x14ac:knownFonts="1">
    <font>
      <sz val="11"/>
      <color theme="1"/>
      <name val="Aptos Narrow"/>
      <family val="2"/>
      <scheme val="minor"/>
    </font>
    <font>
      <sz val="11"/>
      <color rgb="FF1F2937"/>
      <name val="Aptos"/>
    </font>
    <font>
      <b/>
      <sz val="11"/>
      <color rgb="FFFFFFFF"/>
      <name val="Aptos"/>
    </font>
    <font>
      <b/>
      <sz val="18"/>
      <color rgb="FFFFFFFF"/>
      <name val="Aptos"/>
    </font>
    <font>
      <i/>
      <sz val="11"/>
      <color rgb="FF5B6573"/>
      <name val="Aptos"/>
    </font>
    <font>
      <b/>
      <sz val="12"/>
      <color rgb="FFFFFFFF"/>
      <name val="Aptos"/>
    </font>
    <font>
      <b/>
      <sz val="11"/>
      <color rgb="FF1F2937"/>
      <name val="Aptos"/>
    </font>
    <font>
      <b/>
      <sz val="16"/>
      <color rgb="FFFFFFFF"/>
      <name val="Aptos"/>
    </font>
    <font>
      <b/>
      <sz val="11"/>
      <color theme="0"/>
      <name val="Aptos"/>
      <family val="2"/>
    </font>
    <font>
      <sz val="11"/>
      <color theme="0"/>
      <name val="Aptos"/>
      <family val="2"/>
    </font>
    <font>
      <b/>
      <sz val="11"/>
      <color rgb="FF1F2937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rgb="FF16324F"/>
        <bgColor indexed="64"/>
      </patternFill>
    </fill>
    <fill>
      <patternFill patternType="solid">
        <fgColor rgb="FFEAF3F7"/>
        <bgColor indexed="64"/>
      </patternFill>
    </fill>
    <fill>
      <patternFill patternType="solid">
        <fgColor rgb="FF1F8A8A"/>
        <bgColor indexed="64"/>
      </patternFill>
    </fill>
    <fill>
      <patternFill patternType="solid">
        <fgColor rgb="FFF3F5F7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E8F5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rgb="FFC58A00"/>
      </left>
      <right style="medium">
        <color rgb="FFC58A00"/>
      </right>
      <top style="medium">
        <color rgb="FFC58A00"/>
      </top>
      <bottom style="medium">
        <color rgb="FFC58A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Fill="1"/>
    <xf numFmtId="0" fontId="0" fillId="0" borderId="0" xfId="0" applyProtection="1"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1" fillId="3" borderId="0" xfId="0" applyFont="1" applyFill="1" applyAlignment="1" applyProtection="1">
      <alignment vertical="center" wrapText="1"/>
      <protection hidden="1"/>
    </xf>
    <xf numFmtId="0" fontId="1" fillId="0" borderId="0" xfId="0" applyFont="1" applyAlignment="1" applyProtection="1">
      <alignment vertical="center"/>
      <protection hidden="1"/>
    </xf>
    <xf numFmtId="0" fontId="5" fillId="4" borderId="0" xfId="0" applyFont="1" applyFill="1" applyAlignment="1" applyProtection="1">
      <alignment horizontal="center" vertical="center"/>
      <protection hidden="1"/>
    </xf>
    <xf numFmtId="0" fontId="6" fillId="5" borderId="0" xfId="0" applyFont="1" applyFill="1" applyBorder="1" applyAlignment="1" applyProtection="1">
      <alignment vertical="center"/>
      <protection hidden="1"/>
    </xf>
    <xf numFmtId="0" fontId="10" fillId="5" borderId="1" xfId="0" applyFont="1" applyFill="1" applyBorder="1" applyAlignment="1" applyProtection="1">
      <alignment vertical="center"/>
      <protection hidden="1"/>
    </xf>
    <xf numFmtId="0" fontId="6" fillId="5" borderId="1" xfId="0" applyFont="1" applyFill="1" applyBorder="1" applyAlignment="1" applyProtection="1">
      <alignment vertical="center"/>
      <protection hidden="1"/>
    </xf>
    <xf numFmtId="166" fontId="6" fillId="7" borderId="0" xfId="0" applyNumberFormat="1" applyFont="1" applyFill="1" applyBorder="1" applyAlignment="1" applyProtection="1">
      <alignment horizontal="right" vertical="center"/>
      <protection hidden="1"/>
    </xf>
    <xf numFmtId="10" fontId="6" fillId="7" borderId="1" xfId="0" applyNumberFormat="1" applyFont="1" applyFill="1" applyBorder="1" applyAlignment="1" applyProtection="1">
      <alignment horizontal="right" vertical="center"/>
      <protection hidden="1"/>
    </xf>
    <xf numFmtId="0" fontId="8" fillId="0" borderId="0" xfId="0" applyFont="1" applyFill="1" applyAlignment="1" applyProtection="1">
      <alignment horizontal="center" vertic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9" fillId="0" borderId="0" xfId="0" applyFont="1" applyFill="1" applyBorder="1" applyAlignment="1" applyProtection="1">
      <alignment vertical="center"/>
      <protection hidden="1"/>
    </xf>
    <xf numFmtId="0" fontId="1" fillId="0" borderId="0" xfId="0" applyFont="1" applyBorder="1" applyAlignment="1" applyProtection="1">
      <alignment horizontal="center" vertical="center"/>
      <protection hidden="1"/>
    </xf>
    <xf numFmtId="166" fontId="1" fillId="0" borderId="0" xfId="0" applyNumberFormat="1" applyFont="1" applyBorder="1" applyAlignment="1" applyProtection="1">
      <alignment vertical="center"/>
      <protection hidden="1"/>
    </xf>
    <xf numFmtId="0" fontId="1" fillId="0" borderId="1" xfId="0" applyFont="1" applyBorder="1" applyAlignment="1" applyProtection="1">
      <alignment horizontal="center" vertical="center"/>
      <protection hidden="1"/>
    </xf>
    <xf numFmtId="166" fontId="1" fillId="0" borderId="1" xfId="0" applyNumberFormat="1" applyFont="1" applyBorder="1" applyAlignment="1" applyProtection="1">
      <alignment vertical="center"/>
      <protection hidden="1"/>
    </xf>
    <xf numFmtId="0" fontId="1" fillId="0" borderId="0" xfId="0" applyFont="1" applyBorder="1" applyAlignment="1" applyProtection="1">
      <alignment vertical="center"/>
      <protection hidden="1"/>
    </xf>
    <xf numFmtId="10" fontId="1" fillId="0" borderId="0" xfId="0" applyNumberFormat="1" applyFont="1" applyBorder="1" applyAlignment="1" applyProtection="1">
      <alignment vertical="center"/>
      <protection hidden="1"/>
    </xf>
    <xf numFmtId="0" fontId="6" fillId="3" borderId="1" xfId="0" applyFont="1" applyFill="1" applyBorder="1" applyAlignment="1" applyProtection="1">
      <alignment vertical="center"/>
      <protection hidden="1"/>
    </xf>
    <xf numFmtId="10" fontId="6" fillId="3" borderId="1" xfId="0" applyNumberFormat="1" applyFont="1" applyFill="1" applyBorder="1" applyAlignment="1" applyProtection="1">
      <alignment vertical="center"/>
      <protection hidden="1"/>
    </xf>
    <xf numFmtId="166" fontId="6" fillId="3" borderId="1" xfId="0" applyNumberFormat="1" applyFont="1" applyFill="1" applyBorder="1" applyAlignment="1" applyProtection="1">
      <alignment vertical="center"/>
      <protection hidden="1"/>
    </xf>
    <xf numFmtId="0" fontId="0" fillId="0" borderId="0" xfId="0" applyFill="1" applyProtection="1">
      <protection hidden="1"/>
    </xf>
    <xf numFmtId="0" fontId="6" fillId="0" borderId="0" xfId="0" applyFont="1" applyFill="1" applyBorder="1" applyAlignment="1" applyProtection="1">
      <alignment vertical="center"/>
      <protection hidden="1"/>
    </xf>
    <xf numFmtId="10" fontId="6" fillId="0" borderId="0" xfId="0" applyNumberFormat="1" applyFont="1" applyFill="1" applyBorder="1" applyAlignment="1" applyProtection="1">
      <alignment vertical="center"/>
      <protection hidden="1"/>
    </xf>
    <xf numFmtId="166" fontId="6" fillId="0" borderId="0" xfId="0" applyNumberFormat="1" applyFont="1" applyFill="1" applyBorder="1" applyAlignment="1" applyProtection="1">
      <alignment vertical="center"/>
      <protection hidden="1"/>
    </xf>
    <xf numFmtId="166" fontId="6" fillId="6" borderId="0" xfId="0" applyNumberFormat="1" applyFont="1" applyFill="1" applyBorder="1" applyAlignment="1" applyProtection="1">
      <alignment horizontal="center" vertical="center"/>
      <protection locked="0"/>
    </xf>
    <xf numFmtId="0" fontId="6" fillId="6" borderId="0" xfId="0" applyFont="1" applyFill="1" applyBorder="1" applyAlignment="1" applyProtection="1">
      <alignment horizontal="center" vertical="center"/>
      <protection locked="0"/>
    </xf>
    <xf numFmtId="10" fontId="6" fillId="6" borderId="0" xfId="0" applyNumberFormat="1" applyFont="1" applyFill="1" applyBorder="1" applyAlignment="1" applyProtection="1">
      <alignment horizontal="center" vertical="center"/>
      <protection locked="0"/>
    </xf>
    <xf numFmtId="0" fontId="6" fillId="6" borderId="2" xfId="0" applyFont="1" applyFill="1" applyBorder="1" applyAlignment="1" applyProtection="1">
      <alignment horizontal="center" vertical="center"/>
      <protection locked="0"/>
    </xf>
    <xf numFmtId="0" fontId="10" fillId="5" borderId="0" xfId="0" applyFont="1" applyFill="1" applyBorder="1" applyAlignment="1" applyProtection="1">
      <alignment vertic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 wrapText="1"/>
      <protection hidden="1"/>
    </xf>
    <xf numFmtId="0" fontId="1" fillId="0" borderId="0" xfId="0" applyFont="1" applyProtection="1">
      <protection hidden="1"/>
    </xf>
    <xf numFmtId="0" fontId="2" fillId="4" borderId="0" xfId="0" applyFont="1" applyFill="1" applyAlignment="1" applyProtection="1">
      <alignment horizontal="center"/>
      <protection hidden="1"/>
    </xf>
    <xf numFmtId="0" fontId="2" fillId="4" borderId="0" xfId="0" applyFont="1" applyFill="1" applyAlignment="1" applyProtection="1">
      <alignment horizontal="center"/>
      <protection hidden="1"/>
    </xf>
    <xf numFmtId="10" fontId="1" fillId="0" borderId="0" xfId="0" applyNumberFormat="1" applyFont="1" applyProtection="1">
      <protection hidden="1"/>
    </xf>
    <xf numFmtId="0" fontId="2" fillId="2" borderId="0" xfId="0" applyFont="1" applyFill="1" applyAlignment="1" applyProtection="1">
      <alignment horizontal="center"/>
      <protection hidden="1"/>
    </xf>
    <xf numFmtId="0" fontId="1" fillId="5" borderId="0" xfId="0" applyFont="1" applyFill="1" applyProtection="1">
      <protection hidden="1"/>
    </xf>
    <xf numFmtId="10" fontId="1" fillId="5" borderId="0" xfId="0" applyNumberFormat="1" applyFont="1" applyFill="1" applyProtection="1">
      <protection hidden="1"/>
    </xf>
    <xf numFmtId="0" fontId="1" fillId="0" borderId="0" xfId="0" applyFont="1" applyAlignment="1" applyProtection="1">
      <alignment horizontal="center"/>
      <protection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2BD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Patrimônio acumulado por prazo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[$R$-416]\ #.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Simulador!$A$28:$A$32</c:f>
              <c:numCache>
                <c:formatCode>General</c:formatCode>
                <c:ptCount val="5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30</c:v>
                </c:pt>
              </c:numCache>
            </c:numRef>
          </c:cat>
          <c:val>
            <c:numRef>
              <c:f>Simulador!$D$28:$D$32</c:f>
              <c:numCache>
                <c:formatCode>[$R$-416]\ #,##0.00</c:formatCode>
                <c:ptCount val="5"/>
                <c:pt idx="0">
                  <c:v>5445.5254595290435</c:v>
                </c:pt>
                <c:pt idx="1">
                  <c:v>16755.382799697527</c:v>
                </c:pt>
                <c:pt idx="2">
                  <c:v>48656.842506034438</c:v>
                </c:pt>
                <c:pt idx="3">
                  <c:v>225039.68001941612</c:v>
                </c:pt>
                <c:pt idx="4">
                  <c:v>864433.93100094295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93-4804-99C4-2FA25A9AA4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9969424"/>
        <c:axId val="1350919247"/>
      </c:barChart>
      <c:catAx>
        <c:axId val="15399694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Prazo (anos)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0919247"/>
        <c:crosses val="autoZero"/>
        <c:auto val="1"/>
        <c:lblAlgn val="ctr"/>
        <c:lblOffset val="100"/>
        <c:noMultiLvlLbl val="0"/>
      </c:catAx>
      <c:valAx>
        <c:axId val="1350919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Patrimônio (R$)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[$R$-416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39969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Dividendos mensais estimados por prazo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D97706"/>
            </a:solidFill>
            <a:ln>
              <a:noFill/>
            </a:ln>
            <a:effectLst/>
          </c:spPr>
          <c:invertIfNegative val="0"/>
          <c:dLbls>
            <c:numFmt formatCode="[$R$-416]\ #.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Simulador!$A$28:$A$32</c:f>
              <c:numCache>
                <c:formatCode>General</c:formatCode>
                <c:ptCount val="5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30</c:v>
                </c:pt>
              </c:numCache>
            </c:numRef>
          </c:cat>
          <c:val>
            <c:numRef>
              <c:f>Simulador!$E$28:$E$32</c:f>
              <c:numCache>
                <c:formatCode>[$R$-416]\ #,##0.00</c:formatCode>
                <c:ptCount val="5"/>
                <c:pt idx="0">
                  <c:v>32.673152757174265</c:v>
                </c:pt>
                <c:pt idx="1">
                  <c:v>100.53229679818516</c:v>
                </c:pt>
                <c:pt idx="2">
                  <c:v>291.94105503620665</c:v>
                </c:pt>
                <c:pt idx="3">
                  <c:v>1350.2380801164968</c:v>
                </c:pt>
                <c:pt idx="4">
                  <c:v>5186.6035860056581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77-480A-A52C-559ECE1496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9985280"/>
        <c:axId val="1350889007"/>
      </c:barChart>
      <c:catAx>
        <c:axId val="15999852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Prazo (anos)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0889007"/>
        <c:crosses val="autoZero"/>
        <c:auto val="1"/>
        <c:lblAlgn val="ctr"/>
        <c:lblOffset val="100"/>
        <c:noMultiLvlLbl val="0"/>
      </c:catAx>
      <c:valAx>
        <c:axId val="1350889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Dividendos (R$)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[$R$-416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99985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44</xdr:row>
      <xdr:rowOff>0</xdr:rowOff>
    </xdr:from>
    <xdr:to>
      <xdr:col>5</xdr:col>
      <xdr:colOff>0</xdr:colOff>
      <xdr:row>59</xdr:row>
      <xdr:rowOff>0</xdr:rowOff>
    </xdr:to>
    <xdr:graphicFrame macro="">
      <xdr:nvGraphicFramePr>
        <xdr:cNvPr id="5" name="Patrimônio por Prazo">
          <a:extLst>
            <a:ext uri="{FF2B5EF4-FFF2-40B4-BE49-F238E27FC236}">
              <a16:creationId xmlns:a16="http://schemas.microsoft.com/office/drawing/2014/main" id="{BBC65968-DA5A-02F7-0396-A4C4D172CD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61</xdr:row>
      <xdr:rowOff>1731</xdr:rowOff>
    </xdr:from>
    <xdr:to>
      <xdr:col>5</xdr:col>
      <xdr:colOff>0</xdr:colOff>
      <xdr:row>75</xdr:row>
      <xdr:rowOff>190499</xdr:rowOff>
    </xdr:to>
    <xdr:graphicFrame macro="">
      <xdr:nvGraphicFramePr>
        <xdr:cNvPr id="7" name="Dividendos por Prazo">
          <a:extLst>
            <a:ext uri="{FF2B5EF4-FFF2-40B4-BE49-F238E27FC236}">
              <a16:creationId xmlns:a16="http://schemas.microsoft.com/office/drawing/2014/main" id="{7AADFEA7-A82C-381C-7B29-1BF386FC6F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0B514-4758-45B7-9E7C-BEE6ADE55698}">
  <sheetPr>
    <tabColor rgb="FF1F8A8A"/>
  </sheetPr>
  <dimension ref="A1:F77"/>
  <sheetViews>
    <sheetView showGridLines="0" tabSelected="1" zoomScale="110" zoomScaleNormal="110" workbookViewId="0">
      <selection activeCell="E8" sqref="E8"/>
    </sheetView>
  </sheetViews>
  <sheetFormatPr defaultColWidth="0" defaultRowHeight="15" zeroHeight="1" x14ac:dyDescent="0.25"/>
  <cols>
    <col min="1" max="1" width="2.7109375" customWidth="1"/>
    <col min="2" max="2" width="20.42578125" bestFit="1" customWidth="1"/>
    <col min="3" max="3" width="36.140625" customWidth="1"/>
    <col min="4" max="4" width="21" customWidth="1"/>
    <col min="5" max="5" width="22.85546875" customWidth="1"/>
    <col min="6" max="6" width="2.7109375" customWidth="1"/>
    <col min="7" max="16384" width="2.7109375" hidden="1"/>
  </cols>
  <sheetData>
    <row r="1" spans="1:5" x14ac:dyDescent="0.25"/>
    <row r="2" spans="1:5" ht="30" customHeight="1" x14ac:dyDescent="0.25">
      <c r="A2" s="3"/>
      <c r="B2" s="4" t="s">
        <v>15</v>
      </c>
      <c r="C2" s="4"/>
      <c r="D2" s="4"/>
      <c r="E2" s="4"/>
    </row>
    <row r="3" spans="1:5" ht="21.95" customHeight="1" x14ac:dyDescent="0.25">
      <c r="A3" s="3"/>
      <c r="B3" s="5" t="s">
        <v>60</v>
      </c>
      <c r="C3" s="5"/>
      <c r="D3" s="5"/>
      <c r="E3" s="5"/>
    </row>
    <row r="4" spans="1:5" ht="27" customHeight="1" x14ac:dyDescent="0.25">
      <c r="A4" s="3"/>
      <c r="B4" s="6" t="s">
        <v>61</v>
      </c>
      <c r="C4" s="6"/>
      <c r="D4" s="6"/>
      <c r="E4" s="6"/>
    </row>
    <row r="5" spans="1:5" ht="27" customHeight="1" x14ac:dyDescent="0.25">
      <c r="A5" s="3"/>
      <c r="B5" s="6"/>
      <c r="C5" s="6"/>
      <c r="D5" s="6"/>
      <c r="E5" s="6"/>
    </row>
    <row r="6" spans="1:5" ht="18" customHeight="1" x14ac:dyDescent="0.25">
      <c r="A6" s="3"/>
      <c r="B6" s="7"/>
      <c r="C6" s="7"/>
      <c r="D6" s="7"/>
      <c r="E6" s="7"/>
    </row>
    <row r="7" spans="1:5" ht="24" customHeight="1" x14ac:dyDescent="0.25">
      <c r="A7" s="3"/>
      <c r="B7" s="8" t="s">
        <v>0</v>
      </c>
      <c r="C7" s="8"/>
      <c r="D7" s="8"/>
      <c r="E7" s="8"/>
    </row>
    <row r="8" spans="1:5" ht="18" customHeight="1" x14ac:dyDescent="0.25">
      <c r="A8" s="3"/>
      <c r="B8" s="9" t="s">
        <v>16</v>
      </c>
      <c r="C8" s="9"/>
      <c r="D8" s="9"/>
      <c r="E8" s="31">
        <v>5000</v>
      </c>
    </row>
    <row r="9" spans="1:5" ht="18" customHeight="1" x14ac:dyDescent="0.25">
      <c r="A9" s="3"/>
      <c r="B9" s="35" t="s">
        <v>17</v>
      </c>
      <c r="C9" s="9"/>
      <c r="D9" s="9"/>
      <c r="E9" s="32" t="s">
        <v>23</v>
      </c>
    </row>
    <row r="10" spans="1:5" ht="18" customHeight="1" x14ac:dyDescent="0.25">
      <c r="A10" s="3"/>
      <c r="B10" s="9" t="s">
        <v>18</v>
      </c>
      <c r="C10" s="9"/>
      <c r="D10" s="9"/>
      <c r="E10" s="33">
        <v>0.3</v>
      </c>
    </row>
    <row r="11" spans="1:5" ht="18" customHeight="1" x14ac:dyDescent="0.25">
      <c r="A11" s="3"/>
      <c r="B11" s="9" t="s">
        <v>19</v>
      </c>
      <c r="C11" s="9"/>
      <c r="D11" s="9"/>
      <c r="E11" s="31">
        <v>200</v>
      </c>
    </row>
    <row r="12" spans="1:5" ht="18" customHeight="1" x14ac:dyDescent="0.25">
      <c r="A12" s="3"/>
      <c r="B12" s="9" t="s">
        <v>20</v>
      </c>
      <c r="C12" s="9"/>
      <c r="D12" s="9"/>
      <c r="E12" s="32">
        <v>5</v>
      </c>
    </row>
    <row r="13" spans="1:5" ht="18" customHeight="1" x14ac:dyDescent="0.25">
      <c r="A13" s="3"/>
      <c r="B13" s="9" t="s">
        <v>21</v>
      </c>
      <c r="C13" s="9"/>
      <c r="D13" s="9"/>
      <c r="E13" s="33">
        <v>1.0789999999999999E-2</v>
      </c>
    </row>
    <row r="14" spans="1:5" ht="18" customHeight="1" thickBot="1" x14ac:dyDescent="0.3">
      <c r="A14" s="3"/>
      <c r="B14" s="35" t="s">
        <v>22</v>
      </c>
      <c r="C14" s="9"/>
      <c r="D14" s="9"/>
      <c r="E14" s="33">
        <v>6.0000000000000001E-3</v>
      </c>
    </row>
    <row r="15" spans="1:5" ht="18" customHeight="1" thickBot="1" x14ac:dyDescent="0.3">
      <c r="A15" s="3"/>
      <c r="B15" s="10" t="s">
        <v>74</v>
      </c>
      <c r="C15" s="11"/>
      <c r="D15" s="11"/>
      <c r="E15" s="34" t="s">
        <v>2</v>
      </c>
    </row>
    <row r="16" spans="1:5" ht="18" customHeight="1" x14ac:dyDescent="0.25">
      <c r="A16" s="3"/>
      <c r="B16" s="7"/>
      <c r="C16" s="7"/>
      <c r="D16" s="7"/>
      <c r="E16" s="7"/>
    </row>
    <row r="17" spans="1:5" ht="24" customHeight="1" x14ac:dyDescent="0.25">
      <c r="A17" s="3"/>
      <c r="B17" s="8" t="s">
        <v>62</v>
      </c>
      <c r="C17" s="8"/>
      <c r="D17" s="8"/>
      <c r="E17" s="8"/>
    </row>
    <row r="18" spans="1:5" ht="18" customHeight="1" x14ac:dyDescent="0.25">
      <c r="A18" s="3"/>
      <c r="B18" s="9" t="s">
        <v>24</v>
      </c>
      <c r="C18" s="9"/>
      <c r="D18" s="9"/>
      <c r="E18" s="12">
        <f>salario*percentual_salario</f>
        <v>1500</v>
      </c>
    </row>
    <row r="19" spans="1:5" ht="18" customHeight="1" x14ac:dyDescent="0.25">
      <c r="A19" s="3"/>
      <c r="B19" s="9" t="s">
        <v>25</v>
      </c>
      <c r="C19" s="9"/>
      <c r="D19" s="9"/>
      <c r="E19" s="12">
        <f>IF(forma_aporte="% do salário",salario*percentual_salario,valor_mensal)</f>
        <v>200</v>
      </c>
    </row>
    <row r="20" spans="1:5" ht="18" customHeight="1" x14ac:dyDescent="0.25">
      <c r="A20" s="3"/>
      <c r="B20" s="9" t="s">
        <v>26</v>
      </c>
      <c r="C20" s="9"/>
      <c r="D20" s="9"/>
      <c r="E20" s="12">
        <f>IF(qtd_anos=0,0,FV(taxa_mensal,qtd_anos*12,-aporte))</f>
        <v>16755.382799697527</v>
      </c>
    </row>
    <row r="21" spans="1:5" ht="18" customHeight="1" x14ac:dyDescent="0.25">
      <c r="A21" s="3"/>
      <c r="B21" s="9" t="s">
        <v>27</v>
      </c>
      <c r="C21" s="9"/>
      <c r="D21" s="9"/>
      <c r="E21" s="12">
        <f>patrimonio*rendimento_carteira</f>
        <v>100.53229679818516</v>
      </c>
    </row>
    <row r="22" spans="1:5" ht="18" customHeight="1" x14ac:dyDescent="0.25">
      <c r="A22" s="3"/>
      <c r="B22" s="9" t="s">
        <v>28</v>
      </c>
      <c r="C22" s="9"/>
      <c r="D22" s="9"/>
      <c r="E22" s="12">
        <f>aporte*qtd_anos*12</f>
        <v>12000</v>
      </c>
    </row>
    <row r="23" spans="1:5" ht="18" customHeight="1" x14ac:dyDescent="0.25">
      <c r="A23" s="3"/>
      <c r="B23" s="9" t="s">
        <v>29</v>
      </c>
      <c r="C23" s="9"/>
      <c r="D23" s="9"/>
      <c r="E23" s="12">
        <f>patrimonio-E22</f>
        <v>4755.3827996975269</v>
      </c>
    </row>
    <row r="24" spans="1:5" ht="18" customHeight="1" thickBot="1" x14ac:dyDescent="0.3">
      <c r="A24" s="3"/>
      <c r="B24" s="11" t="s">
        <v>30</v>
      </c>
      <c r="C24" s="11"/>
      <c r="D24" s="11"/>
      <c r="E24" s="13">
        <f>SUM(D36:D41)</f>
        <v>0.99999999999999989</v>
      </c>
    </row>
    <row r="25" spans="1:5" ht="18" customHeight="1" x14ac:dyDescent="0.25">
      <c r="A25" s="3"/>
      <c r="B25" s="7"/>
      <c r="C25" s="7"/>
      <c r="D25" s="7"/>
      <c r="E25" s="7"/>
    </row>
    <row r="26" spans="1:5" ht="24" customHeight="1" x14ac:dyDescent="0.25">
      <c r="A26" s="3"/>
      <c r="B26" s="8" t="s">
        <v>63</v>
      </c>
      <c r="C26" s="8"/>
      <c r="D26" s="8"/>
      <c r="E26" s="8"/>
    </row>
    <row r="27" spans="1:5" ht="18" customHeight="1" x14ac:dyDescent="0.25">
      <c r="A27" s="14" t="s">
        <v>31</v>
      </c>
      <c r="B27" s="15" t="s">
        <v>64</v>
      </c>
      <c r="C27" s="15"/>
      <c r="D27" s="16" t="s">
        <v>32</v>
      </c>
      <c r="E27" s="16" t="s">
        <v>33</v>
      </c>
    </row>
    <row r="28" spans="1:5" ht="18" customHeight="1" x14ac:dyDescent="0.25">
      <c r="A28" s="17">
        <v>2</v>
      </c>
      <c r="B28" s="18" t="s">
        <v>65</v>
      </c>
      <c r="C28" s="18"/>
      <c r="D28" s="19">
        <f>FV(taxa_mensal,A28*12,-aporte)</f>
        <v>5445.5254595290435</v>
      </c>
      <c r="E28" s="19">
        <f>D28*rendimento_carteira</f>
        <v>32.673152757174265</v>
      </c>
    </row>
    <row r="29" spans="1:5" ht="18" customHeight="1" x14ac:dyDescent="0.25">
      <c r="A29" s="17">
        <v>5</v>
      </c>
      <c r="B29" s="18" t="s">
        <v>66</v>
      </c>
      <c r="C29" s="18"/>
      <c r="D29" s="19">
        <f>FV(taxa_mensal,A29*12,-aporte)</f>
        <v>16755.382799697527</v>
      </c>
      <c r="E29" s="19">
        <f>D29*rendimento_carteira</f>
        <v>100.53229679818516</v>
      </c>
    </row>
    <row r="30" spans="1:5" ht="18" customHeight="1" x14ac:dyDescent="0.25">
      <c r="A30" s="17">
        <v>10</v>
      </c>
      <c r="B30" s="18" t="s">
        <v>67</v>
      </c>
      <c r="C30" s="18"/>
      <c r="D30" s="19">
        <f>FV(taxa_mensal,A30*12,-aporte)</f>
        <v>48656.842506034438</v>
      </c>
      <c r="E30" s="19">
        <f>D30*rendimento_carteira</f>
        <v>291.94105503620665</v>
      </c>
    </row>
    <row r="31" spans="1:5" ht="18" customHeight="1" x14ac:dyDescent="0.25">
      <c r="A31" s="17">
        <v>20</v>
      </c>
      <c r="B31" s="18" t="s">
        <v>68</v>
      </c>
      <c r="C31" s="18"/>
      <c r="D31" s="19">
        <f>FV(taxa_mensal,A31*12,-aporte)</f>
        <v>225039.68001941612</v>
      </c>
      <c r="E31" s="19">
        <f>D31*rendimento_carteira</f>
        <v>1350.2380801164968</v>
      </c>
    </row>
    <row r="32" spans="1:5" ht="18" customHeight="1" thickBot="1" x14ac:dyDescent="0.3">
      <c r="A32" s="17">
        <v>30</v>
      </c>
      <c r="B32" s="20" t="s">
        <v>69</v>
      </c>
      <c r="C32" s="20"/>
      <c r="D32" s="21">
        <f>FV(taxa_mensal,A32*12,-aporte)</f>
        <v>864433.93100094295</v>
      </c>
      <c r="E32" s="21">
        <f>D32*rendimento_carteira</f>
        <v>5186.6035860056581</v>
      </c>
    </row>
    <row r="33" spans="1:5" ht="18" customHeight="1" x14ac:dyDescent="0.25">
      <c r="A33" s="3"/>
      <c r="B33" s="7"/>
      <c r="C33" s="7"/>
      <c r="D33" s="7"/>
      <c r="E33" s="7"/>
    </row>
    <row r="34" spans="1:5" ht="24" customHeight="1" x14ac:dyDescent="0.25">
      <c r="A34" s="3"/>
      <c r="B34" s="8" t="s">
        <v>70</v>
      </c>
      <c r="C34" s="8"/>
      <c r="D34" s="8"/>
      <c r="E34" s="8"/>
    </row>
    <row r="35" spans="1:5" ht="18" customHeight="1" x14ac:dyDescent="0.25">
      <c r="A35" s="3"/>
      <c r="B35" s="16" t="s">
        <v>34</v>
      </c>
      <c r="C35" s="16" t="s">
        <v>71</v>
      </c>
      <c r="D35" s="16" t="s">
        <v>35</v>
      </c>
      <c r="E35" s="16" t="s">
        <v>23</v>
      </c>
    </row>
    <row r="36" spans="1:5" ht="18" customHeight="1" x14ac:dyDescent="0.25">
      <c r="A36" s="3"/>
      <c r="B36" s="22" t="s">
        <v>6</v>
      </c>
      <c r="C36" s="22" t="str">
        <f>perfil</f>
        <v>Moderado</v>
      </c>
      <c r="D36" s="23">
        <f>VLOOKUP(perfil&amp;"-"&amp;B36,Perfis!$A$5:$D$22,4,FALSE)</f>
        <v>0.32</v>
      </c>
      <c r="E36" s="19">
        <f>D36*aporte</f>
        <v>64</v>
      </c>
    </row>
    <row r="37" spans="1:5" ht="18" customHeight="1" x14ac:dyDescent="0.25">
      <c r="A37" s="3"/>
      <c r="B37" s="22" t="s">
        <v>7</v>
      </c>
      <c r="C37" s="22" t="str">
        <f>perfil</f>
        <v>Moderado</v>
      </c>
      <c r="D37" s="23">
        <f>VLOOKUP(perfil&amp;"-"&amp;B37,Perfis!$A$5:$D$22,4,FALSE)</f>
        <v>0.35</v>
      </c>
      <c r="E37" s="19">
        <f>D37*aporte</f>
        <v>70</v>
      </c>
    </row>
    <row r="38" spans="1:5" ht="18" customHeight="1" x14ac:dyDescent="0.25">
      <c r="A38" s="3"/>
      <c r="B38" s="22" t="s">
        <v>8</v>
      </c>
      <c r="C38" s="22" t="str">
        <f>perfil</f>
        <v>Moderado</v>
      </c>
      <c r="D38" s="23">
        <f>VLOOKUP(perfil&amp;"-"&amp;B38,Perfis!$A$5:$D$22,4,FALSE)</f>
        <v>0.08</v>
      </c>
      <c r="E38" s="19">
        <f>D38*aporte</f>
        <v>16</v>
      </c>
    </row>
    <row r="39" spans="1:5" ht="18" customHeight="1" x14ac:dyDescent="0.25">
      <c r="A39" s="3"/>
      <c r="B39" s="22" t="s">
        <v>9</v>
      </c>
      <c r="C39" s="22" t="str">
        <f>perfil</f>
        <v>Moderado</v>
      </c>
      <c r="D39" s="23">
        <f>VLOOKUP(perfil&amp;"-"&amp;B39,Perfis!$A$5:$D$22,4,FALSE)</f>
        <v>0.05</v>
      </c>
      <c r="E39" s="19">
        <f>D39*aporte</f>
        <v>10</v>
      </c>
    </row>
    <row r="40" spans="1:5" ht="18" customHeight="1" x14ac:dyDescent="0.25">
      <c r="A40" s="3"/>
      <c r="B40" s="22" t="s">
        <v>10</v>
      </c>
      <c r="C40" s="22" t="str">
        <f>perfil</f>
        <v>Moderado</v>
      </c>
      <c r="D40" s="23">
        <f>VLOOKUP(perfil&amp;"-"&amp;B40,Perfis!$A$5:$D$22,4,FALSE)</f>
        <v>0.1</v>
      </c>
      <c r="E40" s="19">
        <f>D40*aporte</f>
        <v>20</v>
      </c>
    </row>
    <row r="41" spans="1:5" ht="18" customHeight="1" x14ac:dyDescent="0.25">
      <c r="A41" s="3"/>
      <c r="B41" s="22" t="s">
        <v>11</v>
      </c>
      <c r="C41" s="22" t="str">
        <f>perfil</f>
        <v>Moderado</v>
      </c>
      <c r="D41" s="23">
        <f>VLOOKUP(perfil&amp;"-"&amp;B41,Perfis!$A$5:$D$22,4,FALSE)</f>
        <v>0.1</v>
      </c>
      <c r="E41" s="19">
        <f>D41*aporte</f>
        <v>20</v>
      </c>
    </row>
    <row r="42" spans="1:5" ht="18" customHeight="1" thickBot="1" x14ac:dyDescent="0.3">
      <c r="A42" s="3"/>
      <c r="B42" s="24" t="s">
        <v>36</v>
      </c>
      <c r="C42" s="24"/>
      <c r="D42" s="25">
        <f>SUM(D36:D41)</f>
        <v>0.99999999999999989</v>
      </c>
      <c r="E42" s="26">
        <f>SUM(E36:E41)</f>
        <v>200</v>
      </c>
    </row>
    <row r="43" spans="1:5" s="2" customFormat="1" ht="18" customHeight="1" x14ac:dyDescent="0.25">
      <c r="A43" s="27"/>
      <c r="B43" s="28"/>
      <c r="C43" s="28"/>
      <c r="D43" s="29"/>
      <c r="E43" s="30"/>
    </row>
    <row r="44" spans="1:5" ht="24" customHeight="1" x14ac:dyDescent="0.25">
      <c r="A44" s="3"/>
      <c r="B44" s="8" t="s">
        <v>72</v>
      </c>
      <c r="C44" s="8"/>
      <c r="D44" s="8"/>
      <c r="E44" s="8"/>
    </row>
    <row r="45" spans="1:5" ht="18" customHeight="1" x14ac:dyDescent="0.25">
      <c r="A45" s="3"/>
      <c r="B45" s="7"/>
      <c r="C45" s="7"/>
      <c r="D45" s="7"/>
      <c r="E45" s="7"/>
    </row>
    <row r="46" spans="1:5" ht="18" customHeight="1" x14ac:dyDescent="0.25">
      <c r="A46" s="3"/>
      <c r="B46" s="7"/>
      <c r="C46" s="7"/>
      <c r="D46" s="7"/>
      <c r="E46" s="7"/>
    </row>
    <row r="47" spans="1:5" ht="18" customHeight="1" x14ac:dyDescent="0.25">
      <c r="A47" s="3"/>
      <c r="B47" s="7"/>
      <c r="C47" s="7"/>
      <c r="D47" s="7"/>
      <c r="E47" s="7"/>
    </row>
    <row r="48" spans="1:5" ht="18" customHeight="1" x14ac:dyDescent="0.25">
      <c r="A48" s="3"/>
      <c r="B48" s="7"/>
      <c r="C48" s="7"/>
      <c r="D48" s="7"/>
      <c r="E48" s="7"/>
    </row>
    <row r="49" spans="1:5" ht="18" customHeight="1" x14ac:dyDescent="0.25">
      <c r="A49" s="3"/>
      <c r="B49" s="7"/>
      <c r="C49" s="7"/>
      <c r="D49" s="7"/>
      <c r="E49" s="7"/>
    </row>
    <row r="50" spans="1:5" ht="18" customHeight="1" x14ac:dyDescent="0.25">
      <c r="A50" s="3"/>
      <c r="B50" s="7"/>
      <c r="C50" s="7"/>
      <c r="D50" s="7"/>
      <c r="E50" s="7"/>
    </row>
    <row r="51" spans="1:5" ht="18" customHeight="1" x14ac:dyDescent="0.25">
      <c r="A51" s="3"/>
      <c r="B51" s="7"/>
      <c r="C51" s="7"/>
      <c r="D51" s="7"/>
      <c r="E51" s="7"/>
    </row>
    <row r="52" spans="1:5" ht="18" customHeight="1" x14ac:dyDescent="0.25">
      <c r="A52" s="3"/>
      <c r="B52" s="7"/>
      <c r="C52" s="7"/>
      <c r="D52" s="7"/>
      <c r="E52" s="7"/>
    </row>
    <row r="53" spans="1:5" ht="18" customHeight="1" x14ac:dyDescent="0.25">
      <c r="A53" s="3"/>
      <c r="B53" s="7"/>
      <c r="C53" s="7"/>
      <c r="D53" s="7"/>
      <c r="E53" s="7"/>
    </row>
    <row r="54" spans="1:5" ht="18" customHeight="1" x14ac:dyDescent="0.25">
      <c r="A54" s="3"/>
      <c r="B54" s="7"/>
      <c r="C54" s="7"/>
      <c r="D54" s="7"/>
      <c r="E54" s="7"/>
    </row>
    <row r="55" spans="1:5" ht="18" customHeight="1" x14ac:dyDescent="0.25">
      <c r="A55" s="3"/>
      <c r="B55" s="7"/>
      <c r="C55" s="7"/>
      <c r="D55" s="7"/>
      <c r="E55" s="7"/>
    </row>
    <row r="56" spans="1:5" ht="18" customHeight="1" x14ac:dyDescent="0.25">
      <c r="A56" s="3"/>
      <c r="B56" s="7"/>
      <c r="C56" s="7"/>
      <c r="D56" s="7"/>
      <c r="E56" s="7"/>
    </row>
    <row r="57" spans="1:5" ht="18" customHeight="1" x14ac:dyDescent="0.25">
      <c r="A57" s="3"/>
      <c r="B57" s="7"/>
      <c r="C57" s="7"/>
      <c r="D57" s="7"/>
      <c r="E57" s="7"/>
    </row>
    <row r="58" spans="1:5" ht="18" customHeight="1" x14ac:dyDescent="0.25">
      <c r="A58" s="3"/>
      <c r="B58" s="7"/>
      <c r="C58" s="7"/>
      <c r="D58" s="7"/>
      <c r="E58" s="7"/>
    </row>
    <row r="59" spans="1:5" ht="18" customHeight="1" x14ac:dyDescent="0.25">
      <c r="A59" s="3"/>
      <c r="B59" s="7"/>
      <c r="C59" s="7"/>
      <c r="D59" s="7"/>
      <c r="E59" s="7"/>
    </row>
    <row r="60" spans="1:5" ht="18" customHeight="1" x14ac:dyDescent="0.25">
      <c r="A60" s="3"/>
      <c r="B60" s="7"/>
      <c r="C60" s="7"/>
      <c r="D60" s="7"/>
      <c r="E60" s="7"/>
    </row>
    <row r="61" spans="1:5" ht="24" customHeight="1" x14ac:dyDescent="0.25">
      <c r="A61" s="3"/>
      <c r="B61" s="8" t="s">
        <v>73</v>
      </c>
      <c r="C61" s="8"/>
      <c r="D61" s="8"/>
      <c r="E61" s="8"/>
    </row>
    <row r="62" spans="1:5" ht="18" customHeight="1" x14ac:dyDescent="0.25">
      <c r="B62" s="1"/>
      <c r="C62" s="1"/>
      <c r="D62" s="1"/>
      <c r="E62" s="1"/>
    </row>
    <row r="63" spans="1:5" ht="18" customHeight="1" x14ac:dyDescent="0.25">
      <c r="B63" s="1"/>
      <c r="C63" s="1"/>
      <c r="D63" s="1"/>
      <c r="E63" s="1"/>
    </row>
    <row r="64" spans="1:5" ht="18" customHeight="1" x14ac:dyDescent="0.25">
      <c r="B64" s="1"/>
      <c r="C64" s="1"/>
      <c r="D64" s="1"/>
      <c r="E64" s="1"/>
    </row>
    <row r="65" spans="2:5" ht="18" customHeight="1" x14ac:dyDescent="0.25">
      <c r="B65" s="1"/>
      <c r="C65" s="1"/>
      <c r="D65" s="1"/>
      <c r="E65" s="1"/>
    </row>
    <row r="66" spans="2:5" ht="18" customHeight="1" x14ac:dyDescent="0.25">
      <c r="B66" s="1"/>
      <c r="C66" s="1"/>
      <c r="D66" s="1"/>
      <c r="E66" s="1"/>
    </row>
    <row r="67" spans="2:5" ht="18" customHeight="1" x14ac:dyDescent="0.25">
      <c r="B67" s="1"/>
      <c r="C67" s="1"/>
      <c r="D67" s="1"/>
      <c r="E67" s="1"/>
    </row>
    <row r="68" spans="2:5" ht="18" customHeight="1" x14ac:dyDescent="0.25">
      <c r="B68" s="1"/>
      <c r="C68" s="1"/>
      <c r="D68" s="1"/>
      <c r="E68" s="1"/>
    </row>
    <row r="69" spans="2:5" ht="18" customHeight="1" x14ac:dyDescent="0.25">
      <c r="B69" s="1"/>
      <c r="C69" s="1"/>
      <c r="D69" s="1"/>
      <c r="E69" s="1"/>
    </row>
    <row r="70" spans="2:5" ht="18" customHeight="1" x14ac:dyDescent="0.25">
      <c r="B70" s="1"/>
      <c r="C70" s="1"/>
      <c r="D70" s="1"/>
      <c r="E70" s="1"/>
    </row>
    <row r="71" spans="2:5" ht="18" customHeight="1" x14ac:dyDescent="0.25">
      <c r="B71" s="1"/>
      <c r="C71" s="1"/>
      <c r="D71" s="1"/>
      <c r="E71" s="1"/>
    </row>
    <row r="72" spans="2:5" ht="18" customHeight="1" x14ac:dyDescent="0.25">
      <c r="B72" s="1"/>
      <c r="C72" s="1"/>
      <c r="D72" s="1"/>
      <c r="E72" s="1"/>
    </row>
    <row r="73" spans="2:5" ht="18" customHeight="1" x14ac:dyDescent="0.25">
      <c r="B73" s="1"/>
      <c r="C73" s="1"/>
      <c r="D73" s="1"/>
      <c r="E73" s="1"/>
    </row>
    <row r="74" spans="2:5" ht="18" customHeight="1" x14ac:dyDescent="0.25">
      <c r="B74" s="1"/>
      <c r="C74" s="1"/>
      <c r="D74" s="1"/>
      <c r="E74" s="1"/>
    </row>
    <row r="75" spans="2:5" ht="18" customHeight="1" x14ac:dyDescent="0.25">
      <c r="B75" s="1"/>
      <c r="C75" s="1"/>
      <c r="D75" s="1"/>
      <c r="E75" s="1"/>
    </row>
    <row r="76" spans="2:5" ht="18" customHeight="1" x14ac:dyDescent="0.25">
      <c r="B76" s="1"/>
      <c r="C76" s="1"/>
      <c r="D76" s="1"/>
      <c r="E76" s="1"/>
    </row>
    <row r="77" spans="2:5" ht="18" customHeight="1" x14ac:dyDescent="0.25">
      <c r="B77" s="1"/>
      <c r="C77" s="1"/>
      <c r="D77" s="1"/>
      <c r="E77" s="1"/>
    </row>
  </sheetData>
  <sheetProtection sheet="1" objects="1" scenarios="1" selectLockedCells="1"/>
  <mergeCells count="31">
    <mergeCell ref="B42:C42"/>
    <mergeCell ref="B27:C27"/>
    <mergeCell ref="B28:C28"/>
    <mergeCell ref="B29:C29"/>
    <mergeCell ref="B30:C30"/>
    <mergeCell ref="B31:C31"/>
    <mergeCell ref="B32:C32"/>
    <mergeCell ref="B26:E26"/>
    <mergeCell ref="B34:E34"/>
    <mergeCell ref="B44:E44"/>
    <mergeCell ref="B61:E61"/>
    <mergeCell ref="B8:D8"/>
    <mergeCell ref="B9:D9"/>
    <mergeCell ref="B10:D10"/>
    <mergeCell ref="B11:D11"/>
    <mergeCell ref="B12:D12"/>
    <mergeCell ref="B13:D13"/>
    <mergeCell ref="B14:D14"/>
    <mergeCell ref="B15:D15"/>
    <mergeCell ref="B18:D18"/>
    <mergeCell ref="B19:D19"/>
    <mergeCell ref="B20:D20"/>
    <mergeCell ref="B21:D21"/>
    <mergeCell ref="B2:E2"/>
    <mergeCell ref="B3:E3"/>
    <mergeCell ref="B4:E5"/>
    <mergeCell ref="B17:E17"/>
    <mergeCell ref="B22:D22"/>
    <mergeCell ref="B23:D23"/>
    <mergeCell ref="B24:D24"/>
    <mergeCell ref="B7:E7"/>
  </mergeCells>
  <dataValidations count="5">
    <dataValidation type="list" allowBlank="1" showInputMessage="1" showErrorMessage="1" errorTitle="Seleção inválida" error="Escolha uma opção disponível na lista." sqref="E9" xr:uid="{89F9DAD7-4327-461E-8035-3E5E4A59910B}">
      <formula1>"% do salário,Valor mensal"</formula1>
    </dataValidation>
    <dataValidation type="list" allowBlank="1" showInputMessage="1" showErrorMessage="1" errorTitle="Seleção inválida" error="Escolha uma opção disponível na lista." promptTitle="Lista de perfis" prompt="Clique na seta do campo e escolha Conservador, Moderado ou Agressivo." sqref="E15" xr:uid="{624DD9CD-D674-4BD0-9C2A-E023DB06EAC2}">
      <formula1>ListaPerfis</formula1>
    </dataValidation>
    <dataValidation type="decimal" allowBlank="1" showInputMessage="1" showErrorMessage="1" sqref="E8 E11" xr:uid="{FF47BC93-69B5-4718-9B4C-D43F3CD5A90D}">
      <formula1>0</formula1>
      <formula2>1000000000</formula2>
    </dataValidation>
    <dataValidation type="decimal" allowBlank="1" showInputMessage="1" showErrorMessage="1" sqref="E10 E13 E14" xr:uid="{5E7F1567-E2A9-49A7-AC7D-A1A006377BE5}">
      <formula1>0</formula1>
      <formula2>1</formula2>
    </dataValidation>
    <dataValidation type="whole" allowBlank="1" showInputMessage="1" showErrorMessage="1" sqref="E12" xr:uid="{AE4D24D0-4D97-4888-820C-19FE87A5605D}">
      <formula1>0</formula1>
      <formula2>100</formula2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3A6F9-1A8F-494B-BC52-78E26FF12D4E}">
  <sheetPr>
    <tabColor rgb="FF6B7280"/>
  </sheetPr>
  <dimension ref="A1:H22"/>
  <sheetViews>
    <sheetView showGridLines="0" zoomScale="115" zoomScaleNormal="115" workbookViewId="0">
      <selection activeCell="A23" sqref="A23:XFD1048576"/>
    </sheetView>
  </sheetViews>
  <sheetFormatPr defaultColWidth="0" defaultRowHeight="15" zeroHeight="1" x14ac:dyDescent="0.25"/>
  <cols>
    <col min="1" max="1" width="32.42578125" customWidth="1"/>
    <col min="2" max="2" width="18.140625" customWidth="1"/>
    <col min="3" max="3" width="25.7109375" customWidth="1"/>
    <col min="4" max="4" width="13.28515625" customWidth="1"/>
    <col min="5" max="5" width="3.85546875" customWidth="1"/>
    <col min="6" max="6" width="18.140625" customWidth="1"/>
    <col min="7" max="7" width="14.28515625" customWidth="1"/>
    <col min="8" max="8" width="15.28515625" customWidth="1"/>
    <col min="9" max="16384" width="9.140625" hidden="1"/>
  </cols>
  <sheetData>
    <row r="1" spans="1:8" ht="27.95" customHeight="1" x14ac:dyDescent="0.35">
      <c r="A1" s="36" t="s">
        <v>37</v>
      </c>
      <c r="B1" s="36"/>
      <c r="C1" s="36"/>
      <c r="D1" s="36"/>
      <c r="E1" s="36"/>
      <c r="F1" s="36"/>
      <c r="G1" s="36"/>
      <c r="H1" s="36"/>
    </row>
    <row r="2" spans="1:8" ht="24" customHeight="1" x14ac:dyDescent="0.25">
      <c r="A2" s="37" t="s">
        <v>38</v>
      </c>
      <c r="B2" s="37"/>
      <c r="C2" s="37"/>
      <c r="D2" s="37"/>
      <c r="E2" s="37"/>
      <c r="F2" s="37"/>
      <c r="G2" s="37"/>
      <c r="H2" s="37"/>
    </row>
    <row r="3" spans="1:8" ht="18" customHeight="1" x14ac:dyDescent="0.25">
      <c r="A3" s="38"/>
      <c r="B3" s="38"/>
      <c r="C3" s="38"/>
      <c r="D3" s="38"/>
      <c r="E3" s="38"/>
      <c r="F3" s="38"/>
      <c r="G3" s="38"/>
      <c r="H3" s="38"/>
    </row>
    <row r="4" spans="1:8" ht="18" customHeight="1" x14ac:dyDescent="0.25">
      <c r="A4" s="39" t="s">
        <v>13</v>
      </c>
      <c r="B4" s="39" t="s">
        <v>4</v>
      </c>
      <c r="C4" s="39" t="s">
        <v>5</v>
      </c>
      <c r="D4" s="39" t="s">
        <v>12</v>
      </c>
      <c r="E4" s="38"/>
      <c r="F4" s="40" t="s">
        <v>56</v>
      </c>
      <c r="G4" s="40"/>
      <c r="H4" s="40"/>
    </row>
    <row r="5" spans="1:8" ht="18" customHeight="1" x14ac:dyDescent="0.25">
      <c r="A5" s="38" t="s">
        <v>39</v>
      </c>
      <c r="B5" s="38" t="s">
        <v>1</v>
      </c>
      <c r="C5" s="38" t="s">
        <v>6</v>
      </c>
      <c r="D5" s="41">
        <v>0.3</v>
      </c>
      <c r="E5" s="38"/>
      <c r="F5" s="42" t="s">
        <v>57</v>
      </c>
      <c r="G5" s="42" t="s">
        <v>58</v>
      </c>
      <c r="H5" s="42" t="s">
        <v>59</v>
      </c>
    </row>
    <row r="6" spans="1:8" ht="18" customHeight="1" x14ac:dyDescent="0.25">
      <c r="A6" s="43" t="s">
        <v>40</v>
      </c>
      <c r="B6" s="43" t="s">
        <v>1</v>
      </c>
      <c r="C6" s="43" t="s">
        <v>7</v>
      </c>
      <c r="D6" s="44">
        <v>0.5</v>
      </c>
      <c r="E6" s="38"/>
      <c r="F6" s="38" t="s">
        <v>1</v>
      </c>
      <c r="G6" s="41">
        <f>SUMIF($B$5:$B$22,F6,$D$5:$D$22)</f>
        <v>1</v>
      </c>
      <c r="H6" s="45" t="str">
        <f>IF(G6=100%,"OK","REVISAR")</f>
        <v>OK</v>
      </c>
    </row>
    <row r="7" spans="1:8" ht="18" customHeight="1" x14ac:dyDescent="0.25">
      <c r="A7" s="38" t="s">
        <v>41</v>
      </c>
      <c r="B7" s="38" t="s">
        <v>1</v>
      </c>
      <c r="C7" s="38" t="s">
        <v>8</v>
      </c>
      <c r="D7" s="41">
        <v>0.1</v>
      </c>
      <c r="E7" s="38"/>
      <c r="F7" s="38" t="s">
        <v>2</v>
      </c>
      <c r="G7" s="41">
        <f>SUMIF($B$5:$B$22,F7,$D$5:$D$22)</f>
        <v>0.99999999999999989</v>
      </c>
      <c r="H7" s="45" t="str">
        <f>IF(G7=100%,"OK","REVISAR")</f>
        <v>OK</v>
      </c>
    </row>
    <row r="8" spans="1:8" ht="18" customHeight="1" x14ac:dyDescent="0.25">
      <c r="A8" s="43" t="s">
        <v>42</v>
      </c>
      <c r="B8" s="43" t="s">
        <v>1</v>
      </c>
      <c r="C8" s="43" t="s">
        <v>9</v>
      </c>
      <c r="D8" s="44">
        <v>0.1</v>
      </c>
      <c r="E8" s="38"/>
      <c r="F8" s="38" t="s">
        <v>3</v>
      </c>
      <c r="G8" s="41">
        <f>SUMIF($B$5:$B$22,F8,$D$5:$D$22)</f>
        <v>1.0000000000000002</v>
      </c>
      <c r="H8" s="45" t="str">
        <f>IF(G8=100%,"OK","REVISAR")</f>
        <v>OK</v>
      </c>
    </row>
    <row r="9" spans="1:8" ht="18" customHeight="1" x14ac:dyDescent="0.25">
      <c r="A9" s="38" t="s">
        <v>43</v>
      </c>
      <c r="B9" s="38" t="s">
        <v>1</v>
      </c>
      <c r="C9" s="38" t="s">
        <v>10</v>
      </c>
      <c r="D9" s="41">
        <v>0</v>
      </c>
      <c r="E9" s="38"/>
      <c r="F9" s="38"/>
      <c r="G9" s="38"/>
      <c r="H9" s="38"/>
    </row>
    <row r="10" spans="1:8" ht="18" customHeight="1" x14ac:dyDescent="0.25">
      <c r="A10" s="43" t="s">
        <v>44</v>
      </c>
      <c r="B10" s="43" t="s">
        <v>1</v>
      </c>
      <c r="C10" s="43" t="s">
        <v>11</v>
      </c>
      <c r="D10" s="44">
        <v>0</v>
      </c>
      <c r="E10" s="38"/>
      <c r="F10" s="38"/>
      <c r="G10" s="38"/>
      <c r="H10" s="38"/>
    </row>
    <row r="11" spans="1:8" ht="18" customHeight="1" x14ac:dyDescent="0.25">
      <c r="A11" s="38" t="s">
        <v>45</v>
      </c>
      <c r="B11" s="38" t="s">
        <v>2</v>
      </c>
      <c r="C11" s="38" t="s">
        <v>6</v>
      </c>
      <c r="D11" s="41">
        <v>0.32</v>
      </c>
      <c r="E11" s="38"/>
      <c r="F11" s="38"/>
      <c r="G11" s="38"/>
      <c r="H11" s="38"/>
    </row>
    <row r="12" spans="1:8" ht="18" customHeight="1" x14ac:dyDescent="0.25">
      <c r="A12" s="43" t="s">
        <v>14</v>
      </c>
      <c r="B12" s="43" t="s">
        <v>2</v>
      </c>
      <c r="C12" s="43" t="s">
        <v>7</v>
      </c>
      <c r="D12" s="44">
        <v>0.35</v>
      </c>
      <c r="E12" s="38"/>
      <c r="F12" s="38"/>
      <c r="G12" s="38"/>
      <c r="H12" s="38"/>
    </row>
    <row r="13" spans="1:8" ht="18" customHeight="1" x14ac:dyDescent="0.25">
      <c r="A13" s="38" t="s">
        <v>46</v>
      </c>
      <c r="B13" s="38" t="s">
        <v>2</v>
      </c>
      <c r="C13" s="38" t="s">
        <v>8</v>
      </c>
      <c r="D13" s="41">
        <v>0.08</v>
      </c>
      <c r="E13" s="38"/>
      <c r="F13" s="38"/>
      <c r="G13" s="38"/>
      <c r="H13" s="38"/>
    </row>
    <row r="14" spans="1:8" ht="18" customHeight="1" x14ac:dyDescent="0.25">
      <c r="A14" s="43" t="s">
        <v>47</v>
      </c>
      <c r="B14" s="43" t="s">
        <v>2</v>
      </c>
      <c r="C14" s="43" t="s">
        <v>9</v>
      </c>
      <c r="D14" s="44">
        <v>0.05</v>
      </c>
      <c r="E14" s="38"/>
      <c r="F14" s="38"/>
      <c r="G14" s="38"/>
      <c r="H14" s="38"/>
    </row>
    <row r="15" spans="1:8" ht="18" customHeight="1" x14ac:dyDescent="0.25">
      <c r="A15" s="38" t="s">
        <v>48</v>
      </c>
      <c r="B15" s="38" t="s">
        <v>2</v>
      </c>
      <c r="C15" s="38" t="s">
        <v>10</v>
      </c>
      <c r="D15" s="41">
        <v>0.1</v>
      </c>
      <c r="E15" s="38"/>
      <c r="F15" s="38"/>
      <c r="G15" s="38"/>
      <c r="H15" s="38"/>
    </row>
    <row r="16" spans="1:8" ht="18" customHeight="1" x14ac:dyDescent="0.25">
      <c r="A16" s="43" t="s">
        <v>49</v>
      </c>
      <c r="B16" s="43" t="s">
        <v>2</v>
      </c>
      <c r="C16" s="43" t="s">
        <v>11</v>
      </c>
      <c r="D16" s="44">
        <v>0.1</v>
      </c>
      <c r="E16" s="38"/>
      <c r="F16" s="38"/>
      <c r="G16" s="38"/>
      <c r="H16" s="38"/>
    </row>
    <row r="17" spans="1:8" ht="18" customHeight="1" x14ac:dyDescent="0.25">
      <c r="A17" s="38" t="s">
        <v>50</v>
      </c>
      <c r="B17" s="38" t="s">
        <v>3</v>
      </c>
      <c r="C17" s="38" t="s">
        <v>6</v>
      </c>
      <c r="D17" s="41">
        <v>0.5</v>
      </c>
      <c r="E17" s="38"/>
      <c r="F17" s="38"/>
      <c r="G17" s="38"/>
      <c r="H17" s="38"/>
    </row>
    <row r="18" spans="1:8" ht="18" customHeight="1" x14ac:dyDescent="0.25">
      <c r="A18" s="43" t="s">
        <v>51</v>
      </c>
      <c r="B18" s="43" t="s">
        <v>3</v>
      </c>
      <c r="C18" s="43" t="s">
        <v>7</v>
      </c>
      <c r="D18" s="44">
        <v>0.1</v>
      </c>
      <c r="E18" s="38"/>
      <c r="F18" s="38"/>
      <c r="G18" s="38"/>
      <c r="H18" s="38"/>
    </row>
    <row r="19" spans="1:8" ht="18" customHeight="1" x14ac:dyDescent="0.25">
      <c r="A19" s="38" t="s">
        <v>52</v>
      </c>
      <c r="B19" s="38" t="s">
        <v>3</v>
      </c>
      <c r="C19" s="38" t="s">
        <v>8</v>
      </c>
      <c r="D19" s="41">
        <v>0.05</v>
      </c>
      <c r="E19" s="38"/>
      <c r="F19" s="38"/>
      <c r="G19" s="38"/>
      <c r="H19" s="38"/>
    </row>
    <row r="20" spans="1:8" ht="18" customHeight="1" x14ac:dyDescent="0.25">
      <c r="A20" s="43" t="s">
        <v>53</v>
      </c>
      <c r="B20" s="43" t="s">
        <v>3</v>
      </c>
      <c r="C20" s="43" t="s">
        <v>9</v>
      </c>
      <c r="D20" s="44">
        <v>0.05</v>
      </c>
      <c r="E20" s="38"/>
      <c r="F20" s="38"/>
      <c r="G20" s="38"/>
      <c r="H20" s="38"/>
    </row>
    <row r="21" spans="1:8" ht="18" customHeight="1" x14ac:dyDescent="0.25">
      <c r="A21" s="38" t="s">
        <v>54</v>
      </c>
      <c r="B21" s="38" t="s">
        <v>3</v>
      </c>
      <c r="C21" s="38" t="s">
        <v>10</v>
      </c>
      <c r="D21" s="41">
        <v>0.2</v>
      </c>
      <c r="E21" s="38"/>
      <c r="F21" s="38"/>
      <c r="G21" s="38"/>
      <c r="H21" s="38"/>
    </row>
    <row r="22" spans="1:8" ht="18" customHeight="1" x14ac:dyDescent="0.25">
      <c r="A22" s="43" t="s">
        <v>55</v>
      </c>
      <c r="B22" s="43" t="s">
        <v>3</v>
      </c>
      <c r="C22" s="43" t="s">
        <v>11</v>
      </c>
      <c r="D22" s="44">
        <v>0.1</v>
      </c>
      <c r="E22" s="38"/>
      <c r="F22" s="38"/>
      <c r="G22" s="38"/>
      <c r="H22" s="38"/>
    </row>
  </sheetData>
  <sheetProtection sheet="1" objects="1" scenarios="1" selectLockedCells="1" selectUnlockedCells="1"/>
  <mergeCells count="3">
    <mergeCell ref="A1:H1"/>
    <mergeCell ref="A2:H2"/>
    <mergeCell ref="F4:H4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D0D6DD-E6DB-45C8-8F90-E314C090C085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C32110DE-3D77-470C-9CED-65521C30E3F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BBC473-00BC-48E4-BFA3-FE8E2B1F00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12</vt:i4>
      </vt:variant>
    </vt:vector>
  </HeadingPairs>
  <TitlesOfParts>
    <vt:vector size="14" baseType="lpstr">
      <vt:lpstr>Simulador</vt:lpstr>
      <vt:lpstr>Perfis</vt:lpstr>
      <vt:lpstr>aporte</vt:lpstr>
      <vt:lpstr>forma_aporte</vt:lpstr>
      <vt:lpstr>ListaPerfis</vt:lpstr>
      <vt:lpstr>patrimonio</vt:lpstr>
      <vt:lpstr>percentual_salario</vt:lpstr>
      <vt:lpstr>perfil</vt:lpstr>
      <vt:lpstr>qtd_anos</vt:lpstr>
      <vt:lpstr>rendimento_carteira</vt:lpstr>
      <vt:lpstr>salario</vt:lpstr>
      <vt:lpstr>sugestao_investimento</vt:lpstr>
      <vt:lpstr>taxa_mensal</vt:lpstr>
      <vt:lpstr>valor_mensal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Silva Aguiar</dc:creator>
  <cp:lastModifiedBy>Edson Deveza</cp:lastModifiedBy>
  <dcterms:created xsi:type="dcterms:W3CDTF">2025-04-16T18:38:03Z</dcterms:created>
  <dcterms:modified xsi:type="dcterms:W3CDTF">2026-09-10T22:35:36Z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